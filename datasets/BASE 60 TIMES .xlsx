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/Users/coachdan/Desktop/Data/Baseball/"/>
    </mc:Choice>
  </mc:AlternateContent>
  <xr:revisionPtr revIDLastSave="0" documentId="13_ncr:1_{DC3E459A-BFE1-5848-830B-CDCC6558A0F0}" xr6:coauthVersionLast="47" xr6:coauthVersionMax="47" xr10:uidLastSave="{00000000-0000-0000-0000-000000000000}"/>
  <bookViews>
    <workbookView xWindow="1280" yWindow="2180" windowWidth="24240" windowHeight="13560" xr2:uid="{0602E183-729B-D149-B78F-49F0FD25C0DF}"/>
  </bookViews>
  <sheets>
    <sheet name="60 TIMES" sheetId="1" r:id="rId1"/>
  </sheets>
  <externalReferences>
    <externalReference r:id="rId2"/>
  </externalReferences>
  <definedNames>
    <definedName name="Bend_BL">#N/A</definedName>
    <definedName name="Bend_SL">#N/A</definedName>
    <definedName name="Bicep">#N/A</definedName>
    <definedName name="Breathing">#N/A</definedName>
    <definedName name="CNS_Activation">#N/A</definedName>
    <definedName name="Conditioning">#N/A</definedName>
    <definedName name="Core">#N/A</definedName>
    <definedName name="Core_Challenge">#N/A</definedName>
    <definedName name="Core_Circuit">#N/A</definedName>
    <definedName name="Grip">#N/A</definedName>
    <definedName name="Hip_Glute">#N/A</definedName>
    <definedName name="Joint_Mobes">#N/A</definedName>
    <definedName name="KB_Circuit">#N/A</definedName>
    <definedName name="Lower_Challenge">#N/A</definedName>
    <definedName name="Lower_Circuit">#N/A</definedName>
    <definedName name="NAME">'[1]DATA SHEET'!$A:$A</definedName>
    <definedName name="Plyo_LB">#N/A</definedName>
    <definedName name="Plyo_UB">#N/A</definedName>
    <definedName name="Power">#N/A</definedName>
    <definedName name="Pull_Horiz">#N/A</definedName>
    <definedName name="Pull_Vert">#N/A</definedName>
    <definedName name="Push_Horiz">#N/A</definedName>
    <definedName name="Push_Vert">#N/A</definedName>
    <definedName name="RC_">#N/A</definedName>
    <definedName name="Recovery">#N/A</definedName>
    <definedName name="Restore">#N/A</definedName>
    <definedName name="Scap">#N/A</definedName>
    <definedName name="Shoulder">#N/A</definedName>
    <definedName name="Speed_Lat">#N/A</definedName>
    <definedName name="Speed_Lin">#N/A</definedName>
    <definedName name="Squat_1_Leg_Supported_Dynamic">#N/A</definedName>
    <definedName name="Squat_1_Leg_Supported_Static">#N/A</definedName>
    <definedName name="Squat_1_Leg_Unsupported">#N/A</definedName>
    <definedName name="Squat_2_Leg">#N/A</definedName>
    <definedName name="Strongman">#N/A</definedName>
    <definedName name="Tissue_Length">#N/A</definedName>
    <definedName name="Tissue_Quality">#N/A</definedName>
    <definedName name="Tricep">#N/A</definedName>
    <definedName name="Upper_Challenge">#N/A</definedName>
    <definedName name="Upper_Circuit">#N/A</definedName>
    <definedName name="Warmup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K20" i="1"/>
  <c r="G20" i="1"/>
  <c r="C20" i="1"/>
  <c r="U18" i="1"/>
  <c r="T18" i="1"/>
  <c r="S18" i="1"/>
  <c r="Q18" i="1"/>
  <c r="M18" i="1"/>
  <c r="I18" i="1"/>
  <c r="X18" i="1" s="1"/>
  <c r="H18" i="1"/>
  <c r="E18" i="1"/>
  <c r="W18" i="1" s="1"/>
  <c r="D18" i="1"/>
  <c r="M17" i="1"/>
  <c r="E17" i="1"/>
  <c r="D17" i="1"/>
  <c r="U16" i="1"/>
  <c r="T16" i="1"/>
  <c r="S16" i="1"/>
  <c r="Q16" i="1"/>
  <c r="M16" i="1"/>
  <c r="Y16" i="1" s="1"/>
  <c r="I16" i="1"/>
  <c r="H16" i="1"/>
  <c r="E16" i="1"/>
  <c r="D16" i="1"/>
  <c r="U15" i="1"/>
  <c r="T15" i="1"/>
  <c r="S15" i="1"/>
  <c r="Q15" i="1"/>
  <c r="M15" i="1"/>
  <c r="Y15" i="1" s="1"/>
  <c r="I15" i="1"/>
  <c r="X15" i="1" s="1"/>
  <c r="H15" i="1"/>
  <c r="E15" i="1"/>
  <c r="D15" i="1"/>
  <c r="U14" i="1"/>
  <c r="T14" i="1"/>
  <c r="S14" i="1"/>
  <c r="Q14" i="1"/>
  <c r="M14" i="1"/>
  <c r="I14" i="1"/>
  <c r="X14" i="1" s="1"/>
  <c r="H14" i="1"/>
  <c r="E14" i="1"/>
  <c r="D14" i="1"/>
  <c r="U13" i="1"/>
  <c r="T13" i="1"/>
  <c r="S13" i="1"/>
  <c r="Q13" i="1"/>
  <c r="M13" i="1"/>
  <c r="I13" i="1"/>
  <c r="X13" i="1" s="1"/>
  <c r="H13" i="1"/>
  <c r="E13" i="1"/>
  <c r="W13" i="1" s="1"/>
  <c r="D13" i="1"/>
  <c r="U12" i="1"/>
  <c r="T12" i="1"/>
  <c r="S12" i="1"/>
  <c r="Q12" i="1"/>
  <c r="M12" i="1"/>
  <c r="Y12" i="1" s="1"/>
  <c r="I12" i="1"/>
  <c r="X12" i="1" s="1"/>
  <c r="H12" i="1"/>
  <c r="E12" i="1"/>
  <c r="W12" i="1" s="1"/>
  <c r="D12" i="1"/>
  <c r="U11" i="1"/>
  <c r="T11" i="1"/>
  <c r="S11" i="1"/>
  <c r="Q11" i="1"/>
  <c r="M11" i="1"/>
  <c r="Y11" i="1" s="1"/>
  <c r="I11" i="1"/>
  <c r="X11" i="1" s="1"/>
  <c r="H11" i="1"/>
  <c r="E11" i="1"/>
  <c r="W11" i="1" s="1"/>
  <c r="D11" i="1"/>
  <c r="U10" i="1"/>
  <c r="T10" i="1"/>
  <c r="S10" i="1"/>
  <c r="Q10" i="1"/>
  <c r="M10" i="1"/>
  <c r="Y10" i="1" s="1"/>
  <c r="I10" i="1"/>
  <c r="X10" i="1" s="1"/>
  <c r="H10" i="1"/>
  <c r="E10" i="1"/>
  <c r="D10" i="1"/>
  <c r="T9" i="1"/>
  <c r="S9" i="1"/>
  <c r="M9" i="1"/>
  <c r="I9" i="1"/>
  <c r="X9" i="1" s="1"/>
  <c r="H9" i="1"/>
  <c r="E9" i="1"/>
  <c r="D9" i="1"/>
  <c r="U8" i="1"/>
  <c r="T8" i="1"/>
  <c r="S8" i="1"/>
  <c r="Q8" i="1"/>
  <c r="M8" i="1"/>
  <c r="I8" i="1"/>
  <c r="H8" i="1"/>
  <c r="E8" i="1"/>
  <c r="D8" i="1"/>
  <c r="U7" i="1"/>
  <c r="T7" i="1"/>
  <c r="S7" i="1"/>
  <c r="Q7" i="1"/>
  <c r="M7" i="1"/>
  <c r="I7" i="1"/>
  <c r="X7" i="1" s="1"/>
  <c r="H7" i="1"/>
  <c r="E7" i="1"/>
  <c r="W7" i="1" s="1"/>
  <c r="D7" i="1"/>
  <c r="U6" i="1"/>
  <c r="T6" i="1"/>
  <c r="S6" i="1"/>
  <c r="Q6" i="1"/>
  <c r="M6" i="1"/>
  <c r="Y6" i="1" s="1"/>
  <c r="I6" i="1"/>
  <c r="X6" i="1" s="1"/>
  <c r="H6" i="1"/>
  <c r="E6" i="1"/>
  <c r="W6" i="1" s="1"/>
  <c r="D6" i="1"/>
  <c r="U5" i="1"/>
  <c r="T5" i="1"/>
  <c r="Q5" i="1"/>
  <c r="M5" i="1"/>
  <c r="Y5" i="1" s="1"/>
  <c r="I5" i="1"/>
  <c r="X5" i="1" s="1"/>
  <c r="H5" i="1"/>
  <c r="U4" i="1"/>
  <c r="T4" i="1"/>
  <c r="S4" i="1"/>
  <c r="Q4" i="1"/>
  <c r="M4" i="1"/>
  <c r="Y4" i="1" s="1"/>
  <c r="I4" i="1"/>
  <c r="X4" i="1" s="1"/>
  <c r="H4" i="1"/>
  <c r="E4" i="1"/>
  <c r="W4" i="1" s="1"/>
  <c r="D4" i="1"/>
  <c r="U3" i="1"/>
  <c r="U21" i="1" s="1"/>
  <c r="T3" i="1"/>
  <c r="S3" i="1"/>
  <c r="Q3" i="1"/>
  <c r="Q20" i="1" s="1"/>
  <c r="M3" i="1"/>
  <c r="I3" i="1"/>
  <c r="X3" i="1" s="1"/>
  <c r="H3" i="1"/>
  <c r="E3" i="1"/>
  <c r="W3" i="1" s="1"/>
  <c r="D3" i="1"/>
  <c r="M20" i="1" l="1"/>
  <c r="Y3" i="1"/>
  <c r="T21" i="1"/>
  <c r="Y7" i="1"/>
  <c r="W8" i="1"/>
  <c r="Y13" i="1"/>
  <c r="Y18" i="1"/>
  <c r="X16" i="1"/>
  <c r="Y14" i="1"/>
  <c r="S21" i="1"/>
  <c r="X8" i="1"/>
  <c r="I20" i="1"/>
  <c r="W14" i="1"/>
  <c r="W16" i="1"/>
  <c r="X21" i="1"/>
  <c r="W9" i="1"/>
  <c r="Y8" i="1"/>
  <c r="Y21" i="1" s="1"/>
  <c r="W10" i="1"/>
  <c r="E20" i="1"/>
  <c r="W15" i="1"/>
  <c r="W21" i="1" l="1"/>
</calcChain>
</file>

<file path=xl/sharedStrings.xml><?xml version="1.0" encoding="utf-8"?>
<sst xmlns="http://schemas.openxmlformats.org/spreadsheetml/2006/main" count="43" uniqueCount="28">
  <si>
    <t>60 yard Difference (Time)</t>
  </si>
  <si>
    <t>60 yard Difference (mph)</t>
  </si>
  <si>
    <t>ATHLETE</t>
  </si>
  <si>
    <t>30 yard</t>
  </si>
  <si>
    <t>60 yard</t>
  </si>
  <si>
    <t>mph (30 yd)</t>
  </si>
  <si>
    <t>mph (60 yd)</t>
  </si>
  <si>
    <t>Difference 1</t>
  </si>
  <si>
    <t>Difference 2</t>
  </si>
  <si>
    <t>Difference 3</t>
  </si>
  <si>
    <t>Austin O'Hara</t>
  </si>
  <si>
    <t>Cooper Smith</t>
  </si>
  <si>
    <t>Drew Canody</t>
  </si>
  <si>
    <t>Evan Blanchard</t>
  </si>
  <si>
    <t>Jack McCarthy</t>
  </si>
  <si>
    <t>Jackson Morse</t>
  </si>
  <si>
    <t>Jake Butler</t>
  </si>
  <si>
    <t>Julius Bagnerise</t>
  </si>
  <si>
    <t>Laken Tignor</t>
  </si>
  <si>
    <t>Logan Vaughan</t>
  </si>
  <si>
    <t>Lucas Alberti</t>
  </si>
  <si>
    <t>Lucas Terilli</t>
  </si>
  <si>
    <t>Matthew Westley</t>
  </si>
  <si>
    <t>Owen Clyne</t>
  </si>
  <si>
    <t>Toby Hueber</t>
  </si>
  <si>
    <t>Vincent Cowdrey</t>
  </si>
  <si>
    <t>AVERAGE DIFFERENCE (TIME)</t>
  </si>
  <si>
    <t>AVERAGE DIFFERENCE (mph)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</si>
</sst>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3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7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dostberg/Desktop/Strength%20and%20Conditioning/Templates/Princeton%20Template.xlsx" TargetMode="External"/><Relationship Id="rId1" Type="http://schemas.openxmlformats.org/officeDocument/2006/relationships/externalLinkPath" Target="/Users/dostberg/Desktop/Strength%20and%20Conditioning/Templates/Princeton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1P1"/>
      <sheetName val="D2P1"/>
      <sheetName val="D3P1"/>
      <sheetName val="DATA SHEE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B107-C117-E343-8CD3-8207C5B522A0}">
  <dimension ref="A1:Y21"/>
  <sheetViews>
    <sheetView tabSelected="1" workbookViewId="0">
      <selection activeCell="A20" sqref="A20:XFD31"/>
    </sheetView>
  </sheetViews>
  <sheetFormatPr defaultColWidth="10.875" defaultRowHeight="15.95"/>
  <cols>
    <col min="1" max="1" width="15.125" style="9" bestFit="1" customWidth="1"/>
    <col min="2" max="17" width="15.875" style="9" customWidth="1"/>
    <col min="18" max="18" width="3.375" style="9" customWidth="1"/>
    <col min="19" max="21" width="11.375" style="9" bestFit="1" customWidth="1"/>
    <col min="22" max="22" width="3.375" style="9" customWidth="1"/>
    <col min="23" max="25" width="11.375" style="9" bestFit="1" customWidth="1"/>
    <col min="26" max="16384" width="10.875" style="9"/>
  </cols>
  <sheetData>
    <row r="1" spans="1:25" s="1" customFormat="1">
      <c r="B1" s="21">
        <v>45901</v>
      </c>
      <c r="C1" s="21"/>
      <c r="D1" s="21"/>
      <c r="E1" s="21"/>
      <c r="F1" s="21">
        <v>45931</v>
      </c>
      <c r="G1" s="21"/>
      <c r="H1" s="21"/>
      <c r="I1" s="21"/>
      <c r="J1" s="21">
        <v>45962</v>
      </c>
      <c r="K1" s="21"/>
      <c r="L1" s="21"/>
      <c r="M1" s="21"/>
      <c r="N1" s="21">
        <v>46023</v>
      </c>
      <c r="O1" s="21"/>
      <c r="P1" s="21"/>
      <c r="Q1" s="21"/>
      <c r="S1" s="20" t="s">
        <v>0</v>
      </c>
      <c r="T1" s="20"/>
      <c r="U1" s="20"/>
      <c r="W1" s="20" t="s">
        <v>1</v>
      </c>
      <c r="X1" s="20"/>
      <c r="Y1" s="20"/>
    </row>
    <row r="2" spans="1:25" s="1" customFormat="1">
      <c r="A2" s="3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2" t="s">
        <v>3</v>
      </c>
      <c r="G2" s="2" t="s">
        <v>4</v>
      </c>
      <c r="H2" s="2" t="s">
        <v>5</v>
      </c>
      <c r="I2" s="3" t="s">
        <v>6</v>
      </c>
      <c r="J2" s="2" t="s">
        <v>3</v>
      </c>
      <c r="K2" s="2" t="s">
        <v>4</v>
      </c>
      <c r="L2" s="2" t="s">
        <v>5</v>
      </c>
      <c r="M2" s="3" t="s">
        <v>6</v>
      </c>
      <c r="N2" s="2" t="s">
        <v>3</v>
      </c>
      <c r="O2" s="2" t="s">
        <v>4</v>
      </c>
      <c r="P2" s="2" t="s">
        <v>5</v>
      </c>
      <c r="Q2" s="3" t="s">
        <v>6</v>
      </c>
      <c r="S2" s="1" t="s">
        <v>7</v>
      </c>
      <c r="T2" s="1" t="s">
        <v>8</v>
      </c>
      <c r="U2" s="1" t="s">
        <v>9</v>
      </c>
      <c r="W2" s="1" t="s">
        <v>7</v>
      </c>
      <c r="X2" s="1" t="s">
        <v>8</v>
      </c>
      <c r="Y2" s="1" t="s">
        <v>9</v>
      </c>
    </row>
    <row r="3" spans="1:25">
      <c r="A3" s="4" t="s">
        <v>10</v>
      </c>
      <c r="B3" s="5">
        <v>3.02</v>
      </c>
      <c r="C3" s="6">
        <v>6.83</v>
      </c>
      <c r="D3" s="7">
        <f>(30/1760)/(B3/3600)</f>
        <v>20.319084888621312</v>
      </c>
      <c r="E3" s="8">
        <f>(60/1760)/(C3/3600)</f>
        <v>17.968853986423532</v>
      </c>
      <c r="F3" s="5">
        <v>3.22</v>
      </c>
      <c r="G3" s="6">
        <v>7.03</v>
      </c>
      <c r="H3" s="7">
        <f>(30/1760)/(F3/3600)</f>
        <v>19.057029926595142</v>
      </c>
      <c r="I3" s="8">
        <f>(60/1760)/(G3/3600)</f>
        <v>17.457649036596404</v>
      </c>
      <c r="J3" s="5"/>
      <c r="K3" s="6">
        <v>6.86</v>
      </c>
      <c r="L3" s="7"/>
      <c r="M3" s="8">
        <f t="shared" ref="M3:M18" si="0">(60/1760)/(K3/3600)</f>
        <v>17.890272992313804</v>
      </c>
      <c r="N3" s="5"/>
      <c r="O3" s="6">
        <v>6.88</v>
      </c>
      <c r="P3" s="7"/>
      <c r="Q3" s="8">
        <f t="shared" ref="Q3:Q18" si="1">(60/1760)/(O3/3600)</f>
        <v>17.838266384778013</v>
      </c>
      <c r="S3" s="6">
        <f>C3-G3</f>
        <v>-0.20000000000000018</v>
      </c>
      <c r="T3" s="6">
        <f>G3-K3</f>
        <v>0.16999999999999993</v>
      </c>
      <c r="U3" s="6">
        <f>O3-K3</f>
        <v>1.9999999999999574E-2</v>
      </c>
      <c r="W3" s="7">
        <f>E3-I3</f>
        <v>0.51120494982712827</v>
      </c>
      <c r="X3" s="7">
        <f>I3-M3</f>
        <v>-0.43262395571739987</v>
      </c>
      <c r="Y3" s="7">
        <f>M3-Q3</f>
        <v>5.2006607535791005E-2</v>
      </c>
    </row>
    <row r="4" spans="1:25">
      <c r="A4" s="10" t="s">
        <v>11</v>
      </c>
      <c r="B4" s="5">
        <v>3.1</v>
      </c>
      <c r="C4" s="6">
        <v>6.89</v>
      </c>
      <c r="D4" s="7">
        <f t="shared" ref="D4" si="2">(30/1760)/(B4/3600)</f>
        <v>19.794721407624632</v>
      </c>
      <c r="E4" s="8">
        <f t="shared" ref="E4" si="3">(60/1760)/(C4/3600)</f>
        <v>17.81237630294234</v>
      </c>
      <c r="F4" s="5">
        <v>3.23</v>
      </c>
      <c r="G4" s="6">
        <v>7.01</v>
      </c>
      <c r="H4" s="7">
        <f t="shared" ref="H4:H18" si="4">(30/1760)/(F4/3600)</f>
        <v>18.998029833943146</v>
      </c>
      <c r="I4" s="8">
        <f t="shared" ref="I4:I18" si="5">(60/1760)/(G4/3600)</f>
        <v>17.507456879782129</v>
      </c>
      <c r="J4" s="5"/>
      <c r="K4" s="6">
        <v>7</v>
      </c>
      <c r="L4" s="7"/>
      <c r="M4" s="8">
        <f t="shared" si="0"/>
        <v>17.532467532467532</v>
      </c>
      <c r="N4" s="5"/>
      <c r="O4" s="6">
        <v>7.25</v>
      </c>
      <c r="P4" s="7"/>
      <c r="Q4" s="8">
        <f t="shared" si="1"/>
        <v>16.927899686520377</v>
      </c>
      <c r="S4" s="6">
        <f t="shared" ref="S4:S18" si="6">C4-G4</f>
        <v>-0.12000000000000011</v>
      </c>
      <c r="T4" s="6">
        <f t="shared" ref="T4:T18" si="7">G4-K4</f>
        <v>9.9999999999997868E-3</v>
      </c>
      <c r="U4" s="6">
        <f t="shared" ref="U4:U18" si="8">O4-K4</f>
        <v>0.25</v>
      </c>
      <c r="W4" s="7">
        <f t="shared" ref="W4:W18" si="9">E4-I4</f>
        <v>0.30491942316021081</v>
      </c>
      <c r="X4" s="7">
        <f t="shared" ref="X4:X18" si="10">I4-M4</f>
        <v>-2.501065268540259E-2</v>
      </c>
      <c r="Y4" s="7">
        <f t="shared" ref="Y4:Y18" si="11">M4-Q4</f>
        <v>0.60456784594715529</v>
      </c>
    </row>
    <row r="5" spans="1:25">
      <c r="A5" s="10" t="s">
        <v>12</v>
      </c>
      <c r="B5" s="11"/>
      <c r="C5" s="12"/>
      <c r="D5" s="13"/>
      <c r="E5" s="14"/>
      <c r="F5" s="5">
        <v>2.97</v>
      </c>
      <c r="G5" s="6">
        <v>6.53</v>
      </c>
      <c r="H5" s="7">
        <f t="shared" si="4"/>
        <v>20.661157024793383</v>
      </c>
      <c r="I5" s="14">
        <f t="shared" si="5"/>
        <v>18.794375609076987</v>
      </c>
      <c r="J5" s="5"/>
      <c r="K5" s="6">
        <v>6.54</v>
      </c>
      <c r="L5" s="7"/>
      <c r="M5" s="14">
        <f t="shared" si="0"/>
        <v>18.765638031693076</v>
      </c>
      <c r="N5" s="5"/>
      <c r="O5" s="6">
        <v>6.56</v>
      </c>
      <c r="P5" s="7"/>
      <c r="Q5" s="8">
        <f t="shared" si="1"/>
        <v>18.708425720620841</v>
      </c>
      <c r="S5" s="6"/>
      <c r="T5" s="6">
        <f t="shared" si="7"/>
        <v>-9.9999999999997868E-3</v>
      </c>
      <c r="U5" s="6">
        <f t="shared" si="8"/>
        <v>1.9999999999999574E-2</v>
      </c>
      <c r="W5" s="7"/>
      <c r="X5" s="7">
        <f t="shared" si="10"/>
        <v>2.8737577383910917E-2</v>
      </c>
      <c r="Y5" s="7">
        <f t="shared" si="11"/>
        <v>5.7212311072234456E-2</v>
      </c>
    </row>
    <row r="6" spans="1:25">
      <c r="A6" s="10" t="s">
        <v>13</v>
      </c>
      <c r="B6" s="5">
        <v>3.08</v>
      </c>
      <c r="C6" s="6">
        <v>6.93</v>
      </c>
      <c r="D6" s="7">
        <f t="shared" ref="D6:D18" si="12">(30/1760)/(B6/3600)</f>
        <v>19.923258559622194</v>
      </c>
      <c r="E6" s="8">
        <f t="shared" ref="E6:E18" si="13">(60/1760)/(C6/3600)</f>
        <v>17.709563164108619</v>
      </c>
      <c r="F6" s="5">
        <v>3.24</v>
      </c>
      <c r="G6" s="6">
        <v>7.1</v>
      </c>
      <c r="H6" s="7">
        <f t="shared" si="4"/>
        <v>18.939393939393938</v>
      </c>
      <c r="I6" s="8">
        <f t="shared" si="5"/>
        <v>17.285531370038413</v>
      </c>
      <c r="J6" s="5"/>
      <c r="K6" s="6">
        <v>6.93</v>
      </c>
      <c r="L6" s="7"/>
      <c r="M6" s="8">
        <f t="shared" si="0"/>
        <v>17.709563164108619</v>
      </c>
      <c r="N6" s="5"/>
      <c r="O6" s="6">
        <v>7.19</v>
      </c>
      <c r="P6" s="7"/>
      <c r="Q6" s="8">
        <f t="shared" si="1"/>
        <v>17.069161714502464</v>
      </c>
      <c r="S6" s="6">
        <f t="shared" si="6"/>
        <v>-0.16999999999999993</v>
      </c>
      <c r="T6" s="6">
        <f t="shared" si="7"/>
        <v>0.16999999999999993</v>
      </c>
      <c r="U6" s="6">
        <f t="shared" si="8"/>
        <v>0.26000000000000068</v>
      </c>
      <c r="W6" s="7">
        <f t="shared" si="9"/>
        <v>0.4240317940702063</v>
      </c>
      <c r="X6" s="7">
        <f t="shared" si="10"/>
        <v>-0.4240317940702063</v>
      </c>
      <c r="Y6" s="7">
        <f t="shared" si="11"/>
        <v>0.64040144960615564</v>
      </c>
    </row>
    <row r="7" spans="1:25">
      <c r="A7" s="10" t="s">
        <v>14</v>
      </c>
      <c r="B7" s="5">
        <v>3.08</v>
      </c>
      <c r="C7" s="6">
        <v>7.04</v>
      </c>
      <c r="D7" s="7">
        <f t="shared" si="12"/>
        <v>19.923258559622194</v>
      </c>
      <c r="E7" s="8">
        <f t="shared" si="13"/>
        <v>17.432851239669422</v>
      </c>
      <c r="F7" s="5">
        <v>3.21</v>
      </c>
      <c r="G7" s="6">
        <v>6.92</v>
      </c>
      <c r="H7" s="7">
        <f t="shared" si="4"/>
        <v>19.116397621070515</v>
      </c>
      <c r="I7" s="8">
        <f t="shared" si="5"/>
        <v>17.73515501839201</v>
      </c>
      <c r="J7" s="5"/>
      <c r="K7" s="6">
        <v>6.99</v>
      </c>
      <c r="L7" s="7"/>
      <c r="M7" s="8">
        <f t="shared" si="0"/>
        <v>17.557549746390947</v>
      </c>
      <c r="N7" s="5"/>
      <c r="O7" s="6">
        <v>6.94</v>
      </c>
      <c r="P7" s="7"/>
      <c r="Q7" s="8">
        <f t="shared" si="1"/>
        <v>17.684045061566675</v>
      </c>
      <c r="S7" s="6">
        <f t="shared" si="6"/>
        <v>0.12000000000000011</v>
      </c>
      <c r="T7" s="6">
        <f t="shared" si="7"/>
        <v>-7.0000000000000284E-2</v>
      </c>
      <c r="U7" s="6">
        <f t="shared" si="8"/>
        <v>-4.9999999999999822E-2</v>
      </c>
      <c r="W7" s="7">
        <f t="shared" si="9"/>
        <v>-0.30230377872258885</v>
      </c>
      <c r="X7" s="7">
        <f t="shared" si="10"/>
        <v>0.17760527200106324</v>
      </c>
      <c r="Y7" s="7">
        <f t="shared" si="11"/>
        <v>-0.12649531517572754</v>
      </c>
    </row>
    <row r="8" spans="1:25">
      <c r="A8" s="10" t="s">
        <v>15</v>
      </c>
      <c r="B8" s="5">
        <v>2.94</v>
      </c>
      <c r="C8" s="6">
        <v>6.66</v>
      </c>
      <c r="D8" s="7">
        <f t="shared" si="12"/>
        <v>20.871985157699445</v>
      </c>
      <c r="E8" s="8">
        <f t="shared" si="13"/>
        <v>18.427518427518425</v>
      </c>
      <c r="F8" s="5">
        <v>3.16</v>
      </c>
      <c r="G8" s="6">
        <v>6.86</v>
      </c>
      <c r="H8" s="7">
        <f t="shared" si="4"/>
        <v>19.41887226697353</v>
      </c>
      <c r="I8" s="8">
        <f t="shared" si="5"/>
        <v>17.890272992313804</v>
      </c>
      <c r="J8" s="5"/>
      <c r="K8" s="6">
        <v>6.7</v>
      </c>
      <c r="L8" s="7"/>
      <c r="M8" s="8">
        <f t="shared" si="0"/>
        <v>18.317503392130256</v>
      </c>
      <c r="N8" s="5"/>
      <c r="O8" s="6">
        <v>6.8</v>
      </c>
      <c r="P8" s="7"/>
      <c r="Q8" s="8">
        <f t="shared" si="1"/>
        <v>18.048128342245988</v>
      </c>
      <c r="S8" s="6">
        <f t="shared" si="6"/>
        <v>-0.20000000000000018</v>
      </c>
      <c r="T8" s="6">
        <f t="shared" si="7"/>
        <v>0.16000000000000014</v>
      </c>
      <c r="U8" s="6">
        <f t="shared" si="8"/>
        <v>9.9999999999999645E-2</v>
      </c>
      <c r="W8" s="7">
        <f t="shared" si="9"/>
        <v>0.5372454352046212</v>
      </c>
      <c r="X8" s="7">
        <f t="shared" si="10"/>
        <v>-0.42723039981645172</v>
      </c>
      <c r="Y8" s="7">
        <f t="shared" si="11"/>
        <v>0.26937504988426753</v>
      </c>
    </row>
    <row r="9" spans="1:25">
      <c r="A9" s="10" t="s">
        <v>16</v>
      </c>
      <c r="B9" s="5">
        <v>3</v>
      </c>
      <c r="C9" s="6">
        <v>6.79</v>
      </c>
      <c r="D9" s="7">
        <f t="shared" si="12"/>
        <v>20.454545454545453</v>
      </c>
      <c r="E9" s="8">
        <f t="shared" si="13"/>
        <v>18.07470879635828</v>
      </c>
      <c r="F9" s="5">
        <v>3.11</v>
      </c>
      <c r="G9" s="6">
        <v>6.77</v>
      </c>
      <c r="H9" s="7">
        <f t="shared" si="4"/>
        <v>19.731072785735165</v>
      </c>
      <c r="I9" s="8">
        <f t="shared" si="5"/>
        <v>18.128105277292871</v>
      </c>
      <c r="J9" s="5"/>
      <c r="K9" s="6">
        <v>6.79</v>
      </c>
      <c r="L9" s="7"/>
      <c r="M9" s="8">
        <f t="shared" si="0"/>
        <v>18.07470879635828</v>
      </c>
      <c r="N9" s="11"/>
      <c r="O9" s="12"/>
      <c r="P9" s="13"/>
      <c r="Q9" s="14"/>
      <c r="S9" s="6">
        <f t="shared" si="6"/>
        <v>2.0000000000000462E-2</v>
      </c>
      <c r="T9" s="6">
        <f t="shared" si="7"/>
        <v>-2.0000000000000462E-2</v>
      </c>
      <c r="U9" s="6"/>
      <c r="W9" s="7">
        <f t="shared" si="9"/>
        <v>-5.339648093459104E-2</v>
      </c>
      <c r="X9" s="7">
        <f t="shared" si="10"/>
        <v>5.339648093459104E-2</v>
      </c>
      <c r="Y9" s="7"/>
    </row>
    <row r="10" spans="1:25">
      <c r="A10" s="10" t="s">
        <v>17</v>
      </c>
      <c r="B10" s="5">
        <v>2.83</v>
      </c>
      <c r="C10" s="6">
        <v>6.38</v>
      </c>
      <c r="D10" s="7">
        <f t="shared" si="12"/>
        <v>21.683263732733696</v>
      </c>
      <c r="E10" s="8">
        <f t="shared" si="13"/>
        <v>19.236249643773153</v>
      </c>
      <c r="F10" s="5">
        <v>2.92</v>
      </c>
      <c r="G10" s="6">
        <v>6.36</v>
      </c>
      <c r="H10" s="7">
        <f t="shared" si="4"/>
        <v>21.014943960149438</v>
      </c>
      <c r="I10" s="8">
        <f t="shared" si="5"/>
        <v>19.296740994854201</v>
      </c>
      <c r="J10" s="5"/>
      <c r="K10" s="6">
        <v>6.44</v>
      </c>
      <c r="L10" s="7"/>
      <c r="M10" s="8">
        <f t="shared" si="0"/>
        <v>19.057029926595142</v>
      </c>
      <c r="N10" s="5"/>
      <c r="O10" s="6">
        <v>6.55</v>
      </c>
      <c r="P10" s="7"/>
      <c r="Q10" s="8">
        <f t="shared" si="1"/>
        <v>18.736988202637054</v>
      </c>
      <c r="S10" s="6">
        <f t="shared" si="6"/>
        <v>1.9999999999999574E-2</v>
      </c>
      <c r="T10" s="6">
        <f t="shared" si="7"/>
        <v>-8.0000000000000071E-2</v>
      </c>
      <c r="U10" s="6">
        <f t="shared" si="8"/>
        <v>0.10999999999999943</v>
      </c>
      <c r="W10" s="7">
        <f t="shared" si="9"/>
        <v>-6.049135108104764E-2</v>
      </c>
      <c r="X10" s="7">
        <f t="shared" si="10"/>
        <v>0.23971106825905864</v>
      </c>
      <c r="Y10" s="7">
        <f t="shared" si="11"/>
        <v>0.32004172395808794</v>
      </c>
    </row>
    <row r="11" spans="1:25">
      <c r="A11" s="10" t="s">
        <v>18</v>
      </c>
      <c r="B11" s="5">
        <v>2.94</v>
      </c>
      <c r="C11" s="6">
        <v>6.51</v>
      </c>
      <c r="D11" s="7">
        <f t="shared" si="12"/>
        <v>20.871985157699445</v>
      </c>
      <c r="E11" s="8">
        <f t="shared" si="13"/>
        <v>18.852115626309175</v>
      </c>
      <c r="F11" s="5">
        <v>3.07</v>
      </c>
      <c r="G11" s="6">
        <v>6.56</v>
      </c>
      <c r="H11" s="7">
        <f t="shared" si="4"/>
        <v>19.98815516730826</v>
      </c>
      <c r="I11" s="8">
        <f t="shared" si="5"/>
        <v>18.708425720620841</v>
      </c>
      <c r="J11" s="5"/>
      <c r="K11" s="6">
        <v>6.58</v>
      </c>
      <c r="L11" s="7"/>
      <c r="M11" s="8">
        <f t="shared" si="0"/>
        <v>18.651561204752692</v>
      </c>
      <c r="N11" s="5"/>
      <c r="O11" s="6">
        <v>6.67</v>
      </c>
      <c r="P11" s="7"/>
      <c r="Q11" s="8">
        <f t="shared" si="1"/>
        <v>18.399890963609103</v>
      </c>
      <c r="S11" s="6">
        <f t="shared" si="6"/>
        <v>-4.9999999999999822E-2</v>
      </c>
      <c r="T11" s="6">
        <f t="shared" si="7"/>
        <v>-2.0000000000000462E-2</v>
      </c>
      <c r="U11" s="6">
        <f t="shared" si="8"/>
        <v>8.9999999999999858E-2</v>
      </c>
      <c r="W11" s="7">
        <f t="shared" si="9"/>
        <v>0.1436899056883334</v>
      </c>
      <c r="X11" s="7">
        <f t="shared" si="10"/>
        <v>5.6864515868149113E-2</v>
      </c>
      <c r="Y11" s="7">
        <f t="shared" si="11"/>
        <v>0.25167024114358938</v>
      </c>
    </row>
    <row r="12" spans="1:25">
      <c r="A12" s="10" t="s">
        <v>19</v>
      </c>
      <c r="B12" s="5">
        <v>3.27</v>
      </c>
      <c r="C12" s="6">
        <v>7.34</v>
      </c>
      <c r="D12" s="7">
        <f t="shared" si="12"/>
        <v>18.765638031693076</v>
      </c>
      <c r="E12" s="8">
        <f t="shared" si="13"/>
        <v>16.720336883824622</v>
      </c>
      <c r="F12" s="5">
        <v>3.33</v>
      </c>
      <c r="G12" s="6">
        <v>7.26</v>
      </c>
      <c r="H12" s="7">
        <f t="shared" si="4"/>
        <v>18.427518427518425</v>
      </c>
      <c r="I12" s="8">
        <f t="shared" si="5"/>
        <v>16.9045830202855</v>
      </c>
      <c r="J12" s="5"/>
      <c r="K12" s="6">
        <v>7.11</v>
      </c>
      <c r="L12" s="7"/>
      <c r="M12" s="8">
        <f t="shared" si="0"/>
        <v>17.261219792865358</v>
      </c>
      <c r="N12" s="5"/>
      <c r="O12" s="6">
        <v>7.24</v>
      </c>
      <c r="P12" s="7"/>
      <c r="Q12" s="8">
        <f t="shared" si="1"/>
        <v>16.951280763435459</v>
      </c>
      <c r="S12" s="6">
        <f t="shared" si="6"/>
        <v>8.0000000000000071E-2</v>
      </c>
      <c r="T12" s="6">
        <f t="shared" si="7"/>
        <v>0.14999999999999947</v>
      </c>
      <c r="U12" s="6">
        <f t="shared" si="8"/>
        <v>0.12999999999999989</v>
      </c>
      <c r="W12" s="7">
        <f t="shared" si="9"/>
        <v>-0.18424613646087806</v>
      </c>
      <c r="X12" s="7">
        <f t="shared" si="10"/>
        <v>-0.35663677257985782</v>
      </c>
      <c r="Y12" s="7">
        <f t="shared" si="11"/>
        <v>0.30993902942989848</v>
      </c>
    </row>
    <row r="13" spans="1:25">
      <c r="A13" s="10" t="s">
        <v>20</v>
      </c>
      <c r="B13" s="5">
        <v>3.01</v>
      </c>
      <c r="C13" s="6">
        <v>6.79</v>
      </c>
      <c r="D13" s="7">
        <f t="shared" si="12"/>
        <v>20.386590154032014</v>
      </c>
      <c r="E13" s="8">
        <f t="shared" si="13"/>
        <v>18.07470879635828</v>
      </c>
      <c r="F13" s="5">
        <v>3.11</v>
      </c>
      <c r="G13" s="6">
        <v>6.78</v>
      </c>
      <c r="H13" s="7">
        <f t="shared" si="4"/>
        <v>19.731072785735165</v>
      </c>
      <c r="I13" s="8">
        <f t="shared" si="5"/>
        <v>18.101367658889782</v>
      </c>
      <c r="J13" s="5"/>
      <c r="K13" s="6">
        <v>6.72</v>
      </c>
      <c r="L13" s="7"/>
      <c r="M13" s="8">
        <f t="shared" si="0"/>
        <v>18.262987012987011</v>
      </c>
      <c r="N13" s="5"/>
      <c r="O13" s="6">
        <v>6.88</v>
      </c>
      <c r="P13" s="7"/>
      <c r="Q13" s="8">
        <f t="shared" si="1"/>
        <v>17.838266384778013</v>
      </c>
      <c r="S13" s="6">
        <f t="shared" si="6"/>
        <v>9.9999999999997868E-3</v>
      </c>
      <c r="T13" s="6">
        <f t="shared" si="7"/>
        <v>6.0000000000000497E-2</v>
      </c>
      <c r="U13" s="6">
        <f t="shared" si="8"/>
        <v>0.16000000000000014</v>
      </c>
      <c r="W13" s="7">
        <f t="shared" si="9"/>
        <v>-2.6658862531501626E-2</v>
      </c>
      <c r="X13" s="7">
        <f t="shared" si="10"/>
        <v>-0.16161935409722972</v>
      </c>
      <c r="Y13" s="7">
        <f t="shared" si="11"/>
        <v>0.42472062820899836</v>
      </c>
    </row>
    <row r="14" spans="1:25">
      <c r="A14" s="10" t="s">
        <v>21</v>
      </c>
      <c r="B14" s="5">
        <v>3.01</v>
      </c>
      <c r="C14" s="6">
        <v>6.8</v>
      </c>
      <c r="D14" s="7">
        <f t="shared" si="12"/>
        <v>20.386590154032014</v>
      </c>
      <c r="E14" s="8">
        <f t="shared" si="13"/>
        <v>18.048128342245988</v>
      </c>
      <c r="F14" s="5">
        <v>3.11</v>
      </c>
      <c r="G14" s="6">
        <v>6.78</v>
      </c>
      <c r="H14" s="7">
        <f t="shared" si="4"/>
        <v>19.731072785735165</v>
      </c>
      <c r="I14" s="8">
        <f t="shared" si="5"/>
        <v>18.101367658889782</v>
      </c>
      <c r="J14" s="5"/>
      <c r="K14" s="6">
        <v>6.75</v>
      </c>
      <c r="L14" s="7"/>
      <c r="M14" s="8">
        <f t="shared" si="0"/>
        <v>18.18181818181818</v>
      </c>
      <c r="N14" s="5"/>
      <c r="O14" s="6">
        <v>6.8</v>
      </c>
      <c r="P14" s="7"/>
      <c r="Q14" s="8">
        <f t="shared" si="1"/>
        <v>18.048128342245988</v>
      </c>
      <c r="S14" s="6">
        <f t="shared" si="6"/>
        <v>1.9999999999999574E-2</v>
      </c>
      <c r="T14" s="6">
        <f t="shared" si="7"/>
        <v>3.0000000000000249E-2</v>
      </c>
      <c r="U14" s="6">
        <f t="shared" si="8"/>
        <v>4.9999999999999822E-2</v>
      </c>
      <c r="W14" s="7">
        <f t="shared" si="9"/>
        <v>-5.3239316643793444E-2</v>
      </c>
      <c r="X14" s="7">
        <f t="shared" si="10"/>
        <v>-8.0450522928398271E-2</v>
      </c>
      <c r="Y14" s="7">
        <f t="shared" si="11"/>
        <v>0.13368983957219172</v>
      </c>
    </row>
    <row r="15" spans="1:25">
      <c r="A15" s="10" t="s">
        <v>22</v>
      </c>
      <c r="B15" s="5">
        <v>3.83</v>
      </c>
      <c r="C15" s="6">
        <v>6.82</v>
      </c>
      <c r="D15" s="7">
        <f t="shared" si="12"/>
        <v>16.021837170662234</v>
      </c>
      <c r="E15" s="8">
        <f t="shared" si="13"/>
        <v>17.995201279658755</v>
      </c>
      <c r="F15" s="5">
        <v>3.36</v>
      </c>
      <c r="G15" s="6">
        <v>7.14</v>
      </c>
      <c r="H15" s="7">
        <f t="shared" si="4"/>
        <v>18.262987012987011</v>
      </c>
      <c r="I15" s="8">
        <f t="shared" si="5"/>
        <v>17.188693659281896</v>
      </c>
      <c r="J15" s="5"/>
      <c r="K15" s="6">
        <v>7.25</v>
      </c>
      <c r="L15" s="7"/>
      <c r="M15" s="8">
        <f t="shared" si="0"/>
        <v>16.927899686520377</v>
      </c>
      <c r="N15" s="5"/>
      <c r="O15" s="6">
        <v>7.14</v>
      </c>
      <c r="P15" s="7"/>
      <c r="Q15" s="8">
        <f t="shared" si="1"/>
        <v>17.188693659281896</v>
      </c>
      <c r="S15" s="6">
        <f t="shared" si="6"/>
        <v>-0.3199999999999994</v>
      </c>
      <c r="T15" s="6">
        <f t="shared" si="7"/>
        <v>-0.11000000000000032</v>
      </c>
      <c r="U15" s="6">
        <f t="shared" si="8"/>
        <v>-0.11000000000000032</v>
      </c>
      <c r="W15" s="7">
        <f t="shared" si="9"/>
        <v>0.80650762037685908</v>
      </c>
      <c r="X15" s="7">
        <f t="shared" si="10"/>
        <v>0.26079397276151894</v>
      </c>
      <c r="Y15" s="7">
        <f t="shared" si="11"/>
        <v>-0.26079397276151894</v>
      </c>
    </row>
    <row r="16" spans="1:25">
      <c r="A16" s="10" t="s">
        <v>23</v>
      </c>
      <c r="B16" s="5">
        <v>2.99</v>
      </c>
      <c r="C16" s="6">
        <v>6.7</v>
      </c>
      <c r="D16" s="7">
        <f t="shared" si="12"/>
        <v>20.522955305563997</v>
      </c>
      <c r="E16" s="8">
        <f t="shared" si="13"/>
        <v>18.317503392130256</v>
      </c>
      <c r="F16" s="5">
        <v>3.18</v>
      </c>
      <c r="G16" s="6">
        <v>6.85</v>
      </c>
      <c r="H16" s="7">
        <f t="shared" si="4"/>
        <v>19.296740994854201</v>
      </c>
      <c r="I16" s="8">
        <f t="shared" si="5"/>
        <v>17.916390179163901</v>
      </c>
      <c r="J16" s="5"/>
      <c r="K16" s="6">
        <v>6.76</v>
      </c>
      <c r="L16" s="7"/>
      <c r="M16" s="8">
        <f t="shared" si="0"/>
        <v>18.154922001075846</v>
      </c>
      <c r="N16" s="5"/>
      <c r="O16" s="6">
        <v>6.68</v>
      </c>
      <c r="P16" s="7"/>
      <c r="Q16" s="8">
        <f t="shared" si="1"/>
        <v>18.372346216657593</v>
      </c>
      <c r="S16" s="6">
        <f t="shared" si="6"/>
        <v>-0.14999999999999947</v>
      </c>
      <c r="T16" s="6">
        <f t="shared" si="7"/>
        <v>8.9999999999999858E-2</v>
      </c>
      <c r="U16" s="6">
        <f t="shared" si="8"/>
        <v>-8.0000000000000071E-2</v>
      </c>
      <c r="W16" s="7">
        <f t="shared" si="9"/>
        <v>0.40111321296635438</v>
      </c>
      <c r="X16" s="7">
        <f t="shared" si="10"/>
        <v>-0.23853182191194477</v>
      </c>
      <c r="Y16" s="7">
        <f t="shared" si="11"/>
        <v>-0.2174242155817474</v>
      </c>
    </row>
    <row r="17" spans="1:25">
      <c r="A17" s="10" t="s">
        <v>24</v>
      </c>
      <c r="B17" s="5">
        <v>3.06</v>
      </c>
      <c r="C17" s="6">
        <v>6.81</v>
      </c>
      <c r="D17" s="7">
        <f t="shared" si="12"/>
        <v>20.053475935828875</v>
      </c>
      <c r="E17" s="8">
        <f t="shared" si="13"/>
        <v>18.02162595114137</v>
      </c>
      <c r="F17" s="11"/>
      <c r="G17" s="12"/>
      <c r="H17" s="13"/>
      <c r="I17" s="14"/>
      <c r="J17" s="5"/>
      <c r="K17" s="6">
        <v>6.76</v>
      </c>
      <c r="L17" s="7"/>
      <c r="M17" s="8">
        <f t="shared" si="0"/>
        <v>18.154922001075846</v>
      </c>
      <c r="N17" s="11"/>
      <c r="O17" s="12"/>
      <c r="P17" s="13"/>
      <c r="Q17" s="14"/>
      <c r="S17" s="6"/>
      <c r="T17" s="6"/>
      <c r="U17" s="6"/>
      <c r="W17" s="7"/>
      <c r="X17" s="7"/>
      <c r="Y17" s="7"/>
    </row>
    <row r="18" spans="1:25">
      <c r="A18" s="15" t="s">
        <v>25</v>
      </c>
      <c r="B18" s="16">
        <v>2.96</v>
      </c>
      <c r="C18" s="17">
        <v>6.7</v>
      </c>
      <c r="D18" s="18">
        <f t="shared" si="12"/>
        <v>20.73095823095823</v>
      </c>
      <c r="E18" s="19">
        <f t="shared" si="13"/>
        <v>18.317503392130256</v>
      </c>
      <c r="F18" s="16">
        <v>3.2</v>
      </c>
      <c r="G18" s="17">
        <v>6.88</v>
      </c>
      <c r="H18" s="18">
        <f t="shared" si="4"/>
        <v>19.17613636363636</v>
      </c>
      <c r="I18" s="19">
        <f t="shared" si="5"/>
        <v>17.838266384778013</v>
      </c>
      <c r="J18" s="16"/>
      <c r="K18" s="17">
        <v>6.73</v>
      </c>
      <c r="L18" s="18"/>
      <c r="M18" s="19">
        <f t="shared" si="0"/>
        <v>18.23585033094691</v>
      </c>
      <c r="N18" s="16"/>
      <c r="O18" s="17">
        <v>6.81</v>
      </c>
      <c r="P18" s="18"/>
      <c r="Q18" s="19">
        <f t="shared" si="1"/>
        <v>18.02162595114137</v>
      </c>
      <c r="S18" s="6">
        <f t="shared" si="6"/>
        <v>-0.17999999999999972</v>
      </c>
      <c r="T18" s="6">
        <f t="shared" si="7"/>
        <v>0.14999999999999947</v>
      </c>
      <c r="U18" s="6">
        <f t="shared" si="8"/>
        <v>7.9999999999999183E-2</v>
      </c>
      <c r="W18" s="7">
        <f t="shared" si="9"/>
        <v>0.47923700735224273</v>
      </c>
      <c r="X18" s="7">
        <f t="shared" si="10"/>
        <v>-0.39758394616889703</v>
      </c>
      <c r="Y18" s="7">
        <f t="shared" si="11"/>
        <v>0.21422437980553966</v>
      </c>
    </row>
    <row r="20" spans="1:25">
      <c r="C20" s="6">
        <f>AVERAGE(C3:C18)</f>
        <v>6.7993333333333341</v>
      </c>
      <c r="E20" s="6">
        <f>AVERAGE(E3:E18)</f>
        <v>18.06728301497283</v>
      </c>
      <c r="G20" s="6">
        <f>AVERAGE(G3:G18)</f>
        <v>6.8553333333333333</v>
      </c>
      <c r="I20" s="6">
        <f>AVERAGE(I3:I18)</f>
        <v>17.923625430683771</v>
      </c>
      <c r="K20" s="6">
        <f>AVERAGE(K3:K18)</f>
        <v>6.8068750000000007</v>
      </c>
      <c r="M20" s="6">
        <f>AVERAGE(M3:M18)</f>
        <v>18.045994612131242</v>
      </c>
      <c r="O20" s="6">
        <f>AVERAGE(O3:O18)</f>
        <v>6.8849999999999989</v>
      </c>
      <c r="Q20" s="6">
        <f>AVERAGE(Q3:Q18)</f>
        <v>17.845224813858632</v>
      </c>
      <c r="S20" s="20" t="s">
        <v>26</v>
      </c>
      <c r="T20" s="20"/>
      <c r="U20" s="20"/>
      <c r="W20" s="20" t="s">
        <v>27</v>
      </c>
      <c r="X20" s="20"/>
      <c r="Y20" s="20"/>
    </row>
    <row r="21" spans="1:25">
      <c r="S21" s="6">
        <f>AVERAGE(S3:S18)</f>
        <v>-7.9999999999999946E-2</v>
      </c>
      <c r="T21" s="6">
        <f t="shared" ref="T21:U21" si="14">AVERAGE(T3:T18)</f>
        <v>4.5333333333333198E-2</v>
      </c>
      <c r="U21" s="6">
        <f t="shared" si="14"/>
        <v>7.3571428571428399E-2</v>
      </c>
      <c r="W21" s="6">
        <f>AVERAGE(W3:W18)</f>
        <v>0.20911524444796825</v>
      </c>
      <c r="X21" s="6">
        <f t="shared" ref="X21:Y21" si="15">AVERAGE(X3:X18)</f>
        <v>-0.11510735551783308</v>
      </c>
      <c r="Y21" s="6">
        <f t="shared" si="15"/>
        <v>0.19093825733177969</v>
      </c>
    </row>
  </sheetData>
  <mergeCells count="8">
    <mergeCell ref="S20:U20"/>
    <mergeCell ref="W20:Y20"/>
    <mergeCell ref="B1:E1"/>
    <mergeCell ref="F1:I1"/>
    <mergeCell ref="J1:M1"/>
    <mergeCell ref="N1:Q1"/>
    <mergeCell ref="S1:U1"/>
    <mergeCell ref="W1:Y1"/>
  </mergeCells>
  <conditionalFormatting sqref="E3:E18">
    <cfRule type="colorScale" priority="4">
      <colorScale>
        <cfvo type="min"/>
        <cfvo type="max"/>
        <color rgb="FFFCFCFF"/>
        <color rgb="FF63BE7B"/>
      </colorScale>
    </cfRule>
  </conditionalFormatting>
  <conditionalFormatting sqref="I3:I16 I18">
    <cfRule type="colorScale" priority="5">
      <colorScale>
        <cfvo type="min"/>
        <cfvo type="max"/>
        <color rgb="FFFCFCFF"/>
        <color rgb="FF63BE7B"/>
      </colorScale>
    </cfRule>
  </conditionalFormatting>
  <conditionalFormatting sqref="I17">
    <cfRule type="colorScale" priority="3">
      <colorScale>
        <cfvo type="min"/>
        <cfvo type="max"/>
        <color rgb="FFFCFCFF"/>
        <color rgb="FF63BE7B"/>
      </colorScale>
    </cfRule>
  </conditionalFormatting>
  <conditionalFormatting sqref="M3:M18 Q3:Q8 Q18 Q10:Q16">
    <cfRule type="colorScale" priority="6">
      <colorScale>
        <cfvo type="min"/>
        <cfvo type="max"/>
        <color rgb="FFFCFCFF"/>
        <color rgb="FF63BE7B"/>
      </colorScale>
    </cfRule>
  </conditionalFormatting>
  <conditionalFormatting sqref="Q9">
    <cfRule type="colorScale" priority="1">
      <colorScale>
        <cfvo type="min"/>
        <cfvo type="max"/>
        <color rgb="FFFCFCFF"/>
        <color rgb="FF63BE7B"/>
      </colorScale>
    </cfRule>
  </conditionalFormatting>
  <conditionalFormatting sqref="Q17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Ostberg</dc:creator>
  <cp:keywords/>
  <dc:description/>
  <cp:lastModifiedBy>Noelle D Saine</cp:lastModifiedBy>
  <cp:revision/>
  <dcterms:created xsi:type="dcterms:W3CDTF">2026-03-12T14:59:07Z</dcterms:created>
  <dcterms:modified xsi:type="dcterms:W3CDTF">2026-03-13T17:11:54Z</dcterms:modified>
  <cp:category/>
  <cp:contentStatus/>
</cp:coreProperties>
</file>